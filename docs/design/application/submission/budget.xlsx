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color rgb="000000FF"/>
    </font>
    <font>
      <name val="Arial"/>
      <color theme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64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6" customWidth="1" min="3" max="3"/>
    <col width="10" customWidth="1" min="4" max="4"/>
    <col width="10" customWidth="1" min="5" max="5"/>
    <col width="11" customWidth="1" min="6" max="6"/>
    <col width="11" customWidth="1" min="7" max="7"/>
    <col width="15" customWidth="1" min="8" max="8"/>
    <col width="70" customWidth="1" min="9" max="9"/>
  </cols>
  <sheetData>
    <row r="1">
      <c r="A1" s="1" t="inlineStr">
        <is>
          <t>Zencelades · Love Burn 2027 · Seed Grant budget (USD)</t>
        </is>
      </c>
    </row>
    <row r="2">
      <c r="A2" s="2" t="inlineStr">
        <is>
          <t>Prices observed September 30, 2026; allowances marked and become receipts. Blue cells are inputs; totals are formulas.</t>
        </is>
      </c>
    </row>
    <row r="4">
      <c r="A4" s="3" t="inlineStr">
        <is>
          <t>Section</t>
        </is>
      </c>
      <c r="B4" s="3" t="inlineStr">
        <is>
          <t>Item</t>
        </is>
      </c>
      <c r="C4" s="3" t="inlineStr">
        <is>
          <t>Qty</t>
        </is>
      </c>
      <c r="D4" s="3" t="inlineStr">
        <is>
          <t>Unit low</t>
        </is>
      </c>
      <c r="E4" s="3" t="inlineStr">
        <is>
          <t>Unit high</t>
        </is>
      </c>
      <c r="F4" s="3" t="inlineStr">
        <is>
          <t>Line low</t>
        </is>
      </c>
      <c r="G4" s="3" t="inlineStr">
        <is>
          <t>Line high</t>
        </is>
      </c>
      <c r="H4" s="3" t="inlineStr">
        <is>
          <t>Kind</t>
        </is>
      </c>
      <c r="I4" s="3" t="inlineStr">
        <is>
          <t>Basis</t>
        </is>
      </c>
    </row>
    <row r="5">
      <c r="A5" s="4" t="inlineStr">
        <is>
          <t>Tier 1 cash build</t>
        </is>
      </c>
      <c r="B5" s="5" t="inlineStr">
        <is>
          <t>The moon: the artist's 2.5 m walk-in zorb (TPU sphere), one person inside at a time, projected onto; diffusing liner or skin treatment allowance</t>
        </is>
      </c>
      <c r="C5" s="6" t="n">
        <v>1</v>
      </c>
      <c r="D5" s="7" t="n">
        <v>0</v>
      </c>
      <c r="E5" s="7" t="n">
        <v>700</v>
      </c>
      <c r="F5" s="8">
        <f>C5*D5</f>
        <v/>
      </c>
      <c r="G5" s="8">
        <f>C5*E5</f>
        <v/>
      </c>
      <c r="H5" s="4" t="inlineStr">
        <is>
          <t>allowance</t>
        </is>
      </c>
      <c r="I5" s="9" t="inlineStr">
        <is>
          <t>Andrew, September 30, 2026: the moon IS the zorb. If he owns it the line is USD 0 plus a diffusing liner or frosting allowance; if a zorb must be bought it is a different price class (3 m TPU zorbs weigh 80-100 kg; prices not researched here) and Andrew prices it before the build. Earlier event-sphere ranges (EUR 155-520, USD 190-690) are retained only as the light-sphere fallback.</t>
        </is>
      </c>
    </row>
    <row r="6">
      <c r="A6" s="4" t="inlineStr">
        <is>
          <t>Tier 1 cash build</t>
        </is>
      </c>
      <c r="B6" s="5" t="inlineStr">
        <is>
          <t>Optoma HD146X 1080p DLP projector, 3,600 lumens</t>
        </is>
      </c>
      <c r="C6" s="6" t="n">
        <v>2</v>
      </c>
      <c r="D6" s="7" t="n">
        <v>499</v>
      </c>
      <c r="E6" s="7" t="n">
        <v>599</v>
      </c>
      <c r="F6" s="8">
        <f>C6*D6</f>
        <v/>
      </c>
      <c r="G6" s="8">
        <f>C6*E6</f>
        <v/>
      </c>
      <c r="H6" s="4" t="inlineStr">
        <is>
          <t>observed price</t>
        </is>
      </c>
      <c r="I6" s="9" t="inlineStr">
        <is>
          <t>Street price USD 499 (ProjectorCentral; Amazon deal listing); Walmart USD 569; AVI-SPL and CompSource USD 599. Purchase, not the USD 495/day rental used by the earlier pricing study. Standard throw 1.47-1.62 fills a 2.5 m sphere from 4 m. Codex's projector workbook (40 to 20, source/research/2026-09-30) screened short-throw heads for the 3.4 m design; its cheapest, the Optoma ZH350ST laser at USD 1,499, is the upgrade path (1.25 m from the sphere, no lamp), not the Seed choice.</t>
        </is>
      </c>
    </row>
    <row r="7">
      <c r="A7" s="4" t="inlineStr">
        <is>
          <t>Tier 1 cash build</t>
        </is>
      </c>
      <c r="B7" s="5" t="inlineStr">
        <is>
          <t>Output node at the projectors: Intel N100-class mini PC with two HDMI plus DisplayPort or USB-C (three heads possible) that receives the finished picture from the laptop over the private Wi-Fi and feeds the heads over HDMI; the artist's laptop does the real-time compositing (in-kind) and can drive the heads directly instead</t>
        </is>
      </c>
      <c r="C7" s="6" t="n">
        <v>1</v>
      </c>
      <c r="D7" s="7" t="n">
        <v>0</v>
      </c>
      <c r="E7" s="7" t="n">
        <v>200</v>
      </c>
      <c r="F7" s="8">
        <f>C7*D7</f>
        <v/>
      </c>
      <c r="G7" s="8">
        <f>C7*E7</f>
        <v/>
      </c>
      <c r="H7" s="4" t="inlineStr">
        <is>
          <t>observed price</t>
        </is>
      </c>
      <c r="I7" s="9" t="inlineStr">
        <is>
          <t>Andrew's direction, October 1, 2026: the laptop does the heavy real-time processing; a cheap mini PC on the Wi-Fi just does the HDMI. N100 fanless mini PCs supporting three displays listed at USD 149.50-199.50; basic N100 units USD 110-142. Low is USD 0 if the laptop sits at the heads and drives them directly. Projectors are HDMI only: the Optoma HD146X has no wireless input, cheap wireless projectors are too dim, and wireless HDMI kits (USD 65-150, 60-120 ms latency) are no better than a stream to the node, so HDMI cables run from the node to the heads.</t>
        </is>
      </c>
    </row>
    <row r="8">
      <c r="A8" s="4" t="inlineStr">
        <is>
          <t>Tier 1 cash build</t>
        </is>
      </c>
      <c r="B8" s="5" t="inlineStr">
        <is>
          <t>Output-node accessories: weatherproof box and HDMI leads to the heads (the private Wi-Fi comes from the artist's own UniFi router)</t>
        </is>
      </c>
      <c r="C8" s="6" t="n">
        <v>1</v>
      </c>
      <c r="D8" s="7" t="n">
        <v>40</v>
      </c>
      <c r="E8" s="7" t="n">
        <v>90</v>
      </c>
      <c r="F8" s="8">
        <f>C8*D8</f>
        <v/>
      </c>
      <c r="G8" s="8">
        <f>C8*E8</f>
        <v/>
      </c>
      <c r="H8" s="4" t="inlineStr">
        <is>
          <t>allowance</t>
        </is>
      </c>
      <c r="I8" s="9" t="inlineStr">
        <is>
          <t>Accessory allowance; itemise from the chosen retailer. No access point to buy: the UniFi router Andrew owns runs the private network (October 1, 2026).</t>
        </is>
      </c>
    </row>
    <row r="9">
      <c r="A9" s="4" t="inlineStr">
        <is>
          <t>Tier 1 cash build</t>
        </is>
      </c>
      <c r="B9" s="5" t="inlineStr">
        <is>
          <t>Old phones inside the zorb running the project's own app: camera feed and mic feed to the laptop, framing the person seated inside (owned, or second-hand at Andrew's USD 25 budget)</t>
        </is>
      </c>
      <c r="C9" s="6" t="n">
        <v>2</v>
      </c>
      <c r="D9" s="7" t="n">
        <v>0</v>
      </c>
      <c r="E9" s="7" t="n">
        <v>25</v>
      </c>
      <c r="F9" s="8">
        <f>C9*D9</f>
        <v/>
      </c>
      <c r="G9" s="8">
        <f>C9*E9</f>
        <v/>
      </c>
      <c r="H9" s="4" t="inlineStr">
        <is>
          <t>allowance</t>
        </is>
      </c>
      <c r="I9" s="9" t="inlineStr">
        <is>
          <t>Andrew's direction, October 1, 2026: USD 25 phones inside the zorb with a custom app that streams camera and mic to the laptop. Spoken trigger: nothing is projected until the person inside says 'I am the man on the moon' (or woman, or whatever they are); offline speech recognition on the laptop listens for the phrase through the phone mics, and the stop switch inside is the fallback trigger. Any Android or iPhone with a camera and Wi-Fi works; no service plan is needed for a local camera app, and the stream is composited live on the host and never stored. They go in before inflation on internal mounts with a USB power bank; a light diffusing treatment of the skin holds the image while the person inside stays visible, settled at the bench test; no haze inside an occupied sphere. Fallback if no old phones turn up: a new Straight Talk Moto G Play 2026 at USD 49.88 (Walmart).</t>
        </is>
      </c>
    </row>
    <row r="10">
      <c r="A10" s="4" t="inlineStr">
        <is>
          <t>Tier 1 cash build</t>
        </is>
      </c>
      <c r="B10" s="5" t="inlineStr">
        <is>
          <t>Phone mounts and power inside the zorb: suction or strap mounts on the inner wall and a USB power bank per phone; or an 11 in magic arm per phone if they ride the triangle corners instead</t>
        </is>
      </c>
      <c r="C10" s="6" t="n">
        <v>2</v>
      </c>
      <c r="D10" s="7" t="n">
        <v>15</v>
      </c>
      <c r="E10" s="7" t="n">
        <v>22</v>
      </c>
      <c r="F10" s="8">
        <f>C10*D10</f>
        <v/>
      </c>
      <c r="G10" s="8">
        <f>C10*E10</f>
        <v/>
      </c>
      <c r="H10" s="4" t="inlineStr">
        <is>
          <t>observed price</t>
        </is>
      </c>
      <c r="I10" s="9" t="inlineStr">
        <is>
          <t>Priced at the magic-arm figure as the ceiling: TARION 11 in magic arm with super clamp USD 19.99 (Best Buy); Niewalda 11 in with phone clip USD 21.68 (Walmart); unbranded USD 14.99-15.03 (eBay). Inside the zorb a suction or strap mount costs less; a small power bank per phone is in the same allowance. A gooseneck phone clamp (USD 7-13 at Walmart) is the snaky alternative outside but sags in wind.</t>
        </is>
      </c>
    </row>
    <row r="11">
      <c r="A11" s="4" t="inlineStr">
        <is>
          <t>Tier 1 cash build</t>
        </is>
      </c>
      <c r="B11" s="5" t="inlineStr">
        <is>
          <t>Weatherproof switches: one at the tunnel (turns the AV inside on going in, off going out), one inside within reach of the seat (stops the show)</t>
        </is>
      </c>
      <c r="C11" s="6" t="n">
        <v>2</v>
      </c>
      <c r="D11" s="7" t="n">
        <v>10</v>
      </c>
      <c r="E11" s="7" t="n">
        <v>20</v>
      </c>
      <c r="F11" s="8">
        <f>C11*D11</f>
        <v/>
      </c>
      <c r="G11" s="8">
        <f>C11*E11</f>
        <v/>
      </c>
      <c r="H11" s="4" t="inlineStr">
        <is>
          <t>allowance</t>
        </is>
      </c>
      <c r="I11" s="9" t="inlineStr">
        <is>
          <t>Andrew's direction, October 1, 2026: a switch going in turns the AV inside on and off, so the cameras and mics are live only while someone is inside; the inside switch is the occupant's stop. Wired to the laptop over USB or read by the phones' app; allowance until a part is chosen.</t>
        </is>
      </c>
    </row>
    <row r="12">
      <c r="A12" s="4" t="inlineStr">
        <is>
          <t>Tier 1 cash build</t>
        </is>
      </c>
      <c r="B12" s="5" t="inlineStr">
        <is>
          <t>13 ft heavy-duty light stand for each projector</t>
        </is>
      </c>
      <c r="C12" s="6" t="n">
        <v>2</v>
      </c>
      <c r="D12" s="7" t="n">
        <v>64</v>
      </c>
      <c r="E12" s="7" t="n">
        <v>64</v>
      </c>
      <c r="F12" s="8">
        <f>C12*D12</f>
        <v/>
      </c>
      <c r="G12" s="8">
        <f>C12*E12</f>
        <v/>
      </c>
      <c r="H12" s="4" t="inlineStr">
        <is>
          <t>observed price</t>
        </is>
      </c>
      <c r="I12" s="9" t="inlineStr">
        <is>
          <t>Flashpoint Pro 13 ft air-cushioned heavy-duty light stand about USD 64 (Amazon). The USD 39.95 In the Breeze pole seen earlier is a fabric-decor flag pole, not a load-bearing stand, and is dropped. Sandbags are in the rigging kit.</t>
        </is>
      </c>
    </row>
    <row r="13">
      <c r="A13" s="4" t="inlineStr">
        <is>
          <t>Tier 1 cash build</t>
        </is>
      </c>
      <c r="B13" s="5" t="inlineStr">
        <is>
          <t>Universal projector bracket per stand</t>
        </is>
      </c>
      <c r="C13" s="6" t="n">
        <v>2</v>
      </c>
      <c r="D13" s="7" t="n">
        <v>18</v>
      </c>
      <c r="E13" s="7" t="n">
        <v>19</v>
      </c>
      <c r="F13" s="8">
        <f>C13*D13</f>
        <v/>
      </c>
      <c r="G13" s="8">
        <f>C13*E13</f>
        <v/>
      </c>
      <c r="H13" s="4" t="inlineStr">
        <is>
          <t>observed price</t>
        </is>
      </c>
      <c r="I13" s="9" t="inlineStr">
        <is>
          <t>APPLAYERR heavy-duty stand USD 17.95; TAPDRA universal bracket USD 18.96 (Walmart listings).</t>
        </is>
      </c>
    </row>
    <row r="14">
      <c r="A14" s="4" t="inlineStr">
        <is>
          <t>Tier 1 cash build</t>
        </is>
      </c>
      <c r="B14" s="5" t="inlineStr">
        <is>
          <t>Rain and salt-spray cover per projector (vented box or hood)</t>
        </is>
      </c>
      <c r="C14" s="6" t="n">
        <v>2</v>
      </c>
      <c r="D14" s="7" t="n">
        <v>60</v>
      </c>
      <c r="E14" s="7" t="n">
        <v>150</v>
      </c>
      <c r="F14" s="8">
        <f>C14*D14</f>
        <v/>
      </c>
      <c r="G14" s="8">
        <f>C14*E14</f>
        <v/>
      </c>
      <c r="H14" s="4" t="inlineStr">
        <is>
          <t>allowance</t>
        </is>
      </c>
      <c r="I14" s="9" t="inlineStr">
        <is>
          <t>No product selected; a sealed enclosure is a different price class. Projectors run only in dry conditions and are boxed when unattended.</t>
        </is>
      </c>
    </row>
    <row r="15">
      <c r="A15" s="4" t="inlineStr">
        <is>
          <t>Tier 1 cash build</t>
        </is>
      </c>
      <c r="B15" s="5" t="inlineStr">
        <is>
          <t>Rigging kit: hand winch with brake, block, rated halyard, three-line bridle, rated lyra-style swivel, optional porch-swing springs, round slings, screw-pin shackles, carabiners, safety sling, two tag lines, ratchet straps, sandbags</t>
        </is>
      </c>
      <c r="C15" s="6" t="n">
        <v>1</v>
      </c>
      <c r="D15" s="7" t="n">
        <v>150</v>
      </c>
      <c r="E15" s="7" t="n">
        <v>400</v>
      </c>
      <c r="F15" s="8">
        <f>C15*D15</f>
        <v/>
      </c>
      <c r="G15" s="8">
        <f>C15*E15</f>
        <v/>
      </c>
      <c r="H15" s="4" t="inlineStr">
        <is>
          <t>allowance</t>
        </is>
      </c>
      <c r="I15" s="9" t="inlineStr">
        <is>
          <t>Hardware allowance for an unoccupied zorb of tens of kilograms on rated gear; the winch-and-block lowering design and the seat (padded loop in a fabricated triangle) are in docs/grant-prior-art-and-mounts.md. A lyra rigging kit with 360-degree swivel lists at about USD 74; heavy-duty porch swing springs USD 8-18 a pair. The rigger confirms the final list against the rig's own manual.</t>
        </is>
      </c>
    </row>
    <row r="16">
      <c r="A16" s="4" t="inlineStr">
        <is>
          <t>Tier 1 cash build</t>
        </is>
      </c>
      <c r="B16" s="5" t="inlineStr">
        <is>
          <t>Outdoor-rated cords, inline GFCI, cable ramps, weatherproof power box</t>
        </is>
      </c>
      <c r="C16" s="6" t="n">
        <v>1</v>
      </c>
      <c r="D16" s="7" t="n">
        <v>150</v>
      </c>
      <c r="E16" s="7" t="n">
        <v>300</v>
      </c>
      <c r="F16" s="8">
        <f>C16*D16</f>
        <v/>
      </c>
      <c r="G16" s="8">
        <f>C16*E16</f>
        <v/>
      </c>
      <c r="H16" s="4" t="inlineStr">
        <is>
          <t>allowance</t>
        </is>
      </c>
      <c r="I16" s="9" t="inlineStr">
        <is>
          <t>Electrical distribution allowance for one supplied circuit; the event electrician confirms the connection.</t>
        </is>
      </c>
    </row>
    <row r="17">
      <c r="A17" s="4" t="inlineStr">
        <is>
          <t>Tier 1 cash build</t>
        </is>
      </c>
      <c r="B17" s="5" t="inlineStr">
        <is>
          <t>Weather-resistant powered speaker fed from the Pi</t>
        </is>
      </c>
      <c r="C17" s="6" t="n">
        <v>1</v>
      </c>
      <c r="D17" s="7" t="n">
        <v>100</v>
      </c>
      <c r="E17" s="7" t="n">
        <v>250</v>
      </c>
      <c r="F17" s="8">
        <f>C17*D17</f>
        <v/>
      </c>
      <c r="G17" s="8">
        <f>C17*E17</f>
        <v/>
      </c>
      <c r="H17" s="4" t="inlineStr">
        <is>
          <t>allowance</t>
        </is>
      </c>
      <c r="I17" s="9" t="inlineStr">
        <is>
          <t>Low-level ambient sound only; no product selected.</t>
        </is>
      </c>
    </row>
    <row r="18">
      <c r="A18" s="4" t="inlineStr">
        <is>
          <t>Tier 1 cash build</t>
        </is>
      </c>
      <c r="B18" s="5" t="inlineStr">
        <is>
          <t>Landed configuration: three pinned tube legs with foot pads for the triangle, mats and sandbags</t>
        </is>
      </c>
      <c r="C18" s="6" t="n">
        <v>1</v>
      </c>
      <c r="D18" s="7" t="n">
        <v>100</v>
      </c>
      <c r="E18" s="7" t="n">
        <v>300</v>
      </c>
      <c r="F18" s="8">
        <f>C18*D18</f>
        <v/>
      </c>
      <c r="G18" s="8">
        <f>C18*E18</f>
        <v/>
      </c>
      <c r="H18" s="4" t="inlineStr">
        <is>
          <t>allowance</t>
        </is>
      </c>
      <c r="I18" s="9" t="inlineStr">
        <is>
          <t>Andrew's lander idea, October 1, 2026: on the ground the moon stands on three legs pinned to the triangle corners like a landed probe, centre at 1.7 m, top under 10 ft, rig-free; used when placement refuses a rig, in wind, and as the nightly landing. Legs are the same tube as the triangle (about 3 x 1.2 m), fabricated with the basket; this line covers tube, pads, pins, mats and sandbags. No wooden platform: legs only.</t>
        </is>
      </c>
    </row>
    <row r="19">
      <c r="A19" s="4" t="inlineStr">
        <is>
          <t>Tier 1 cash build</t>
        </is>
      </c>
      <c r="B19" s="5" t="inlineStr">
        <is>
          <t>Repair kit, tape, spare blower fuse, batteries, lens cloths</t>
        </is>
      </c>
      <c r="C19" s="6" t="n">
        <v>1</v>
      </c>
      <c r="D19" s="7" t="n">
        <v>50</v>
      </c>
      <c r="E19" s="7" t="n">
        <v>150</v>
      </c>
      <c r="F19" s="8">
        <f>C19*D19</f>
        <v/>
      </c>
      <c r="G19" s="8">
        <f>C19*E19</f>
        <v/>
      </c>
      <c r="H19" s="4" t="inlineStr">
        <is>
          <t>allowance</t>
        </is>
      </c>
      <c r="I19" s="9" t="inlineStr">
        <is>
          <t>Consumables.</t>
        </is>
      </c>
    </row>
    <row r="20">
      <c r="A20" s="4" t="inlineStr">
        <is>
          <t>Tier 1 cash build</t>
        </is>
      </c>
      <c r="B20" s="5" t="inlineStr">
        <is>
          <t>Basket under the sphere: a 3.1-3.5 m straight-tube triangle (or a 1.8-2.0 m rolled ring) in 1 in EMT or 3/4 in steel tube, three-rope bridle, pads, three straps over the top</t>
        </is>
      </c>
      <c r="C20" s="6" t="n">
        <v>1</v>
      </c>
      <c r="D20" s="7" t="n">
        <v>60</v>
      </c>
      <c r="E20" s="7" t="n">
        <v>180</v>
      </c>
      <c r="F20" s="8">
        <f>C20*D20</f>
        <v/>
      </c>
      <c r="G20" s="8">
        <f>C20*E20</f>
        <v/>
      </c>
      <c r="H20" s="4" t="inlineStr">
        <is>
          <t>allowance</t>
        </is>
      </c>
      <c r="I20" s="9" t="inlineStr">
        <is>
          <t>Andrew's design, September 30, 2026: nothing attaches to the sphere skin; a bought lyra is too small; rope bridle instead of rigid legs so nothing shadows the projection. Fabricated at Denhac with Odd Todd; labour is in-kind. Materials allowance only; tube price to be confirmed at purchase. Geometry and weight in docs/grant-prior-art-and-mounts.md.</t>
        </is>
      </c>
    </row>
    <row r="21">
      <c r="A21" s="4" t="inlineStr">
        <is>
          <t>Tier 1 cash build</t>
        </is>
      </c>
      <c r="B21" s="10" t="inlineStr">
        <is>
          <t>Subtotal</t>
        </is>
      </c>
      <c r="C21" s="4" t="inlineStr"/>
      <c r="D21" s="8" t="inlineStr"/>
      <c r="E21" s="8" t="inlineStr"/>
      <c r="F21" s="8">
        <f>SUM(F5:F20)</f>
        <v/>
      </c>
      <c r="G21" s="8">
        <f>SUM(G5:G20)</f>
        <v/>
      </c>
      <c r="H21" s="4" t="inlineStr"/>
      <c r="I21" s="9" t="inlineStr"/>
    </row>
    <row r="22">
      <c r="A22" s="4" t="inlineStr">
        <is>
          <t>Tier 1 cash build</t>
        </is>
      </c>
      <c r="B22" s="9" t="inlineStr">
        <is>
          <t>Contingency 20%</t>
        </is>
      </c>
      <c r="C22" s="4" t="inlineStr"/>
      <c r="D22" s="8" t="inlineStr"/>
      <c r="E22" s="8" t="inlineStr"/>
      <c r="F22" s="8">
        <f>F21*0.2</f>
        <v/>
      </c>
      <c r="G22" s="8">
        <f>G21*0.2</f>
        <v/>
      </c>
      <c r="H22" s="4" t="inlineStr"/>
      <c r="I22" s="9" t="inlineStr"/>
    </row>
    <row r="23">
      <c r="A23" s="4" t="inlineStr">
        <is>
          <t>Tier 1 cash build</t>
        </is>
      </c>
      <c r="B23" s="10" t="inlineStr">
        <is>
          <t>TOTAL CASH BUILD</t>
        </is>
      </c>
      <c r="C23" s="4" t="inlineStr"/>
      <c r="D23" s="8" t="inlineStr"/>
      <c r="E23" s="8" t="inlineStr"/>
      <c r="F23" s="11">
        <f>F21+F22</f>
        <v/>
      </c>
      <c r="G23" s="11">
        <f>G21+G22</f>
        <v/>
      </c>
      <c r="H23" s="4" t="inlineStr"/>
      <c r="I23" s="9" t="inlineStr"/>
    </row>
    <row r="24">
      <c r="A24" s="4" t="n"/>
      <c r="B24" s="9" t="n"/>
      <c r="C24" s="4" t="n"/>
      <c r="D24" s="8" t="n"/>
      <c r="E24" s="8" t="n"/>
      <c r="F24" s="8" t="n"/>
      <c r="G24" s="8" t="n"/>
      <c r="H24" s="4" t="n"/>
      <c r="I24" s="9" t="n"/>
    </row>
    <row r="25">
      <c r="A25" s="4" t="inlineStr">
        <is>
          <t>Upgrade: third projector (artist-funded)</t>
        </is>
      </c>
      <c r="B25" s="5" t="inlineStr">
        <is>
          <t>Third Optoma HD146X for a continuous 120-degree wrap</t>
        </is>
      </c>
      <c r="C25" s="6" t="n">
        <v>1</v>
      </c>
      <c r="D25" s="7" t="n">
        <v>499</v>
      </c>
      <c r="E25" s="7" t="n">
        <v>599</v>
      </c>
      <c r="F25" s="8">
        <f>C25*D25</f>
        <v/>
      </c>
      <c r="G25" s="8">
        <f>C25*E25</f>
        <v/>
      </c>
      <c r="H25" s="4" t="inlineStr">
        <is>
          <t>observed price</t>
        </is>
      </c>
      <c r="I25" s="9" t="inlineStr">
        <is>
          <t>Same sources as the Tier 1 projectors.</t>
        </is>
      </c>
    </row>
    <row r="26">
      <c r="A26" s="4" t="inlineStr">
        <is>
          <t>Upgrade: third projector (artist-funded)</t>
        </is>
      </c>
      <c r="B26" s="5" t="inlineStr">
        <is>
          <t>Third stand, bracket and cover</t>
        </is>
      </c>
      <c r="C26" s="6" t="n">
        <v>1</v>
      </c>
      <c r="D26" s="7" t="n">
        <v>118</v>
      </c>
      <c r="E26" s="7" t="n">
        <v>233</v>
      </c>
      <c r="F26" s="8">
        <f>C26*D26</f>
        <v/>
      </c>
      <c r="G26" s="8">
        <f>C26*E26</f>
        <v/>
      </c>
      <c r="H26" s="4" t="inlineStr">
        <is>
          <t>allowance</t>
        </is>
      </c>
      <c r="I26" s="9" t="inlineStr">
        <is>
          <t>Sum of the Tier 1 stand, bracket and cover lines per projector.</t>
        </is>
      </c>
    </row>
    <row r="27">
      <c r="A27" s="4" t="inlineStr">
        <is>
          <t>Upgrade: third projector (artist-funded)</t>
        </is>
      </c>
      <c r="B27" s="5" t="inlineStr">
        <is>
          <t>Second Raspberry Pi 5 kit for the third output, synchronised over Wi-Fi</t>
        </is>
      </c>
      <c r="C27" s="6" t="n">
        <v>1</v>
      </c>
      <c r="D27" s="7" t="n">
        <v>135</v>
      </c>
      <c r="E27" s="7" t="n">
        <v>289</v>
      </c>
      <c r="F27" s="8">
        <f>C27*D27</f>
        <v/>
      </c>
      <c r="G27" s="8">
        <f>C27*E27</f>
        <v/>
      </c>
      <c r="H27" s="4" t="inlineStr">
        <is>
          <t>allowance</t>
        </is>
      </c>
      <c r="I27" s="9" t="inlineStr">
        <is>
          <t>Sum of the Tier 1 Pi and accessory lines; a Pi 5 drives two projectors.</t>
        </is>
      </c>
    </row>
    <row r="28">
      <c r="A28" s="4" t="inlineStr">
        <is>
          <t>Upgrade: third projector (artist-funded)</t>
        </is>
      </c>
      <c r="B28" s="10" t="inlineStr">
        <is>
          <t>Subtotal</t>
        </is>
      </c>
      <c r="C28" s="4" t="inlineStr"/>
      <c r="D28" s="8" t="inlineStr"/>
      <c r="E28" s="8" t="inlineStr"/>
      <c r="F28" s="8">
        <f>SUM(F25:F27)</f>
        <v/>
      </c>
      <c r="G28" s="8">
        <f>SUM(G25:G27)</f>
        <v/>
      </c>
      <c r="H28" s="4" t="inlineStr"/>
      <c r="I28" s="9" t="inlineStr"/>
    </row>
    <row r="29">
      <c r="A29" s="4" t="inlineStr">
        <is>
          <t>Upgrade: third projector (artist-funded)</t>
        </is>
      </c>
      <c r="B29" s="9" t="inlineStr">
        <is>
          <t>Contingency 20%</t>
        </is>
      </c>
      <c r="C29" s="4" t="inlineStr"/>
      <c r="D29" s="8" t="inlineStr"/>
      <c r="E29" s="8" t="inlineStr"/>
      <c r="F29" s="8">
        <f>F28*0.2</f>
        <v/>
      </c>
      <c r="G29" s="8">
        <f>G28*0.2</f>
        <v/>
      </c>
      <c r="H29" s="4" t="inlineStr"/>
      <c r="I29" s="9" t="inlineStr"/>
    </row>
    <row r="30">
      <c r="A30" s="4" t="inlineStr">
        <is>
          <t>Upgrade: third projector (artist-funded)</t>
        </is>
      </c>
      <c r="B30" s="10" t="inlineStr">
        <is>
          <t>Total with contingency</t>
        </is>
      </c>
      <c r="C30" s="4" t="inlineStr"/>
      <c r="D30" s="8" t="inlineStr"/>
      <c r="E30" s="8" t="inlineStr"/>
      <c r="F30" s="11">
        <f>F28+F29</f>
        <v/>
      </c>
      <c r="G30" s="11">
        <f>G28+G29</f>
        <v/>
      </c>
      <c r="H30" s="4" t="inlineStr"/>
      <c r="I30" s="9" t="inlineStr"/>
    </row>
    <row r="31">
      <c r="A31" s="4" t="n"/>
      <c r="B31" s="9" t="n"/>
      <c r="C31" s="4" t="n"/>
      <c r="D31" s="8" t="n"/>
      <c r="E31" s="8" t="n"/>
      <c r="F31" s="8" t="n"/>
      <c r="G31" s="8" t="n"/>
      <c r="H31" s="4" t="n"/>
      <c r="I31" s="9" t="n"/>
    </row>
    <row r="32">
      <c r="A32" s="4" t="inlineStr">
        <is>
          <t>Upgrade: four-projector version (if funded)</t>
        </is>
      </c>
      <c r="B32" s="5" t="inlineStr">
        <is>
          <t>Two more Optoma HD146X projectors for four-sided coverage</t>
        </is>
      </c>
      <c r="C32" s="6" t="n">
        <v>2</v>
      </c>
      <c r="D32" s="7" t="n">
        <v>499</v>
      </c>
      <c r="E32" s="7" t="n">
        <v>599</v>
      </c>
      <c r="F32" s="8">
        <f>C32*D32</f>
        <v/>
      </c>
      <c r="G32" s="8">
        <f>C32*E32</f>
        <v/>
      </c>
      <c r="H32" s="4" t="inlineStr">
        <is>
          <t>observed price</t>
        </is>
      </c>
      <c r="I32" s="9" t="inlineStr">
        <is>
          <t>Same sources as the Tier 1 projectors.</t>
        </is>
      </c>
    </row>
    <row r="33">
      <c r="A33" s="4" t="inlineStr">
        <is>
          <t>Upgrade: four-projector version (if funded)</t>
        </is>
      </c>
      <c r="B33" s="5" t="inlineStr">
        <is>
          <t>Two more stands, brackets and covers</t>
        </is>
      </c>
      <c r="C33" s="6" t="n">
        <v>2</v>
      </c>
      <c r="D33" s="7" t="n">
        <v>118</v>
      </c>
      <c r="E33" s="7" t="n">
        <v>233</v>
      </c>
      <c r="F33" s="8">
        <f>C33*D33</f>
        <v/>
      </c>
      <c r="G33" s="8">
        <f>C33*E33</f>
        <v/>
      </c>
      <c r="H33" s="4" t="inlineStr">
        <is>
          <t>allowance</t>
        </is>
      </c>
      <c r="I33" s="9" t="inlineStr">
        <is>
          <t>Sum of the Tier 1 stand, bracket and cover lines per projector.</t>
        </is>
      </c>
    </row>
    <row r="34">
      <c r="A34" s="4" t="inlineStr">
        <is>
          <t>Upgrade: four-projector version (if funded)</t>
        </is>
      </c>
      <c r="B34" s="5" t="inlineStr">
        <is>
          <t>Second Raspberry Pi 5 with accessories, synchronised over Wi-Fi</t>
        </is>
      </c>
      <c r="C34" s="6" t="n">
        <v>1</v>
      </c>
      <c r="D34" s="7" t="n">
        <v>135</v>
      </c>
      <c r="E34" s="7" t="n">
        <v>289</v>
      </c>
      <c r="F34" s="8">
        <f>C34*D34</f>
        <v/>
      </c>
      <c r="G34" s="8">
        <f>C34*E34</f>
        <v/>
      </c>
      <c r="H34" s="4" t="inlineStr">
        <is>
          <t>allowance</t>
        </is>
      </c>
      <c r="I34" s="9" t="inlineStr">
        <is>
          <t>Sum of the Tier 1 Pi and accessory lines.</t>
        </is>
      </c>
    </row>
    <row r="35">
      <c r="A35" s="4" t="inlineStr">
        <is>
          <t>Upgrade: four-projector version (if funded)</t>
        </is>
      </c>
      <c r="B35" s="10" t="inlineStr">
        <is>
          <t>Subtotal</t>
        </is>
      </c>
      <c r="C35" s="4" t="inlineStr"/>
      <c r="D35" s="8" t="inlineStr"/>
      <c r="E35" s="8" t="inlineStr"/>
      <c r="F35" s="8">
        <f>SUM(F32:F34)</f>
        <v/>
      </c>
      <c r="G35" s="8">
        <f>SUM(G32:G34)</f>
        <v/>
      </c>
      <c r="H35" s="4" t="inlineStr"/>
      <c r="I35" s="9" t="inlineStr"/>
    </row>
    <row r="36">
      <c r="A36" s="4" t="inlineStr">
        <is>
          <t>Upgrade: four-projector version (if funded)</t>
        </is>
      </c>
      <c r="B36" s="9" t="inlineStr">
        <is>
          <t>Contingency 20%</t>
        </is>
      </c>
      <c r="C36" s="4" t="inlineStr"/>
      <c r="D36" s="8" t="inlineStr"/>
      <c r="E36" s="8" t="inlineStr"/>
      <c r="F36" s="8">
        <f>F35*0.2</f>
        <v/>
      </c>
      <c r="G36" s="8">
        <f>G35*0.2</f>
        <v/>
      </c>
      <c r="H36" s="4" t="inlineStr"/>
      <c r="I36" s="9" t="inlineStr"/>
    </row>
    <row r="37">
      <c r="A37" s="4" t="inlineStr">
        <is>
          <t>Upgrade: four-projector version (if funded)</t>
        </is>
      </c>
      <c r="B37" s="10" t="inlineStr">
        <is>
          <t>Total with contingency</t>
        </is>
      </c>
      <c r="C37" s="4" t="inlineStr"/>
      <c r="D37" s="8" t="inlineStr"/>
      <c r="E37" s="8" t="inlineStr"/>
      <c r="F37" s="11">
        <f>F35+F36</f>
        <v/>
      </c>
      <c r="G37" s="11">
        <f>G35+G36</f>
        <v/>
      </c>
      <c r="H37" s="4" t="inlineStr"/>
      <c r="I37" s="9" t="inlineStr"/>
    </row>
    <row r="38">
      <c r="A38" s="4" t="n"/>
      <c r="B38" s="9" t="n"/>
      <c r="C38" s="4" t="n"/>
      <c r="D38" s="8" t="n"/>
      <c r="E38" s="8" t="n"/>
      <c r="F38" s="8" t="n"/>
      <c r="G38" s="8" t="n"/>
      <c r="H38" s="4" t="n"/>
      <c r="I38" s="9" t="n"/>
    </row>
    <row r="39">
      <c r="A39" s="4" t="inlineStr">
        <is>
          <t>Support: truss goalpost (only if the owned rig does not fit)</t>
        </is>
      </c>
      <c r="B39" s="5" t="inlineStr">
        <is>
          <t>ProX XT-CRANK14FT-220 14 ft crank stand, 220 lb, TUV certified, 63 in base</t>
        </is>
      </c>
      <c r="C39" s="6" t="n">
        <v>2</v>
      </c>
      <c r="D39" s="7" t="n">
        <v>316</v>
      </c>
      <c r="E39" s="7" t="n">
        <v>400</v>
      </c>
      <c r="F39" s="8">
        <f>C39*D39</f>
        <v/>
      </c>
      <c r="G39" s="8">
        <f>C39*E39</f>
        <v/>
      </c>
      <c r="H39" s="4" t="inlineStr">
        <is>
          <t>observed price</t>
        </is>
      </c>
      <c r="I39" s="9" t="inlineStr">
        <is>
          <t>Sale prices USD 316-400 across idjnow, B&amp;H, Full Compass and others (list USD 959.99). Two stands form a goalpost; cranking down is the wind plan.</t>
        </is>
      </c>
    </row>
    <row r="40">
      <c r="A40" s="4" t="inlineStr">
        <is>
          <t>Support: truss goalpost (only if the owned rig does not fit)</t>
        </is>
      </c>
      <c r="B40" s="5" t="inlineStr">
        <is>
          <t>10 ft aluminium truss span between the stands</t>
        </is>
      </c>
      <c r="C40" s="6" t="n">
        <v>1</v>
      </c>
      <c r="D40" s="7" t="n">
        <v>170</v>
      </c>
      <c r="E40" s="7" t="n">
        <v>600</v>
      </c>
      <c r="F40" s="8">
        <f>C40*D40</f>
        <v/>
      </c>
      <c r="G40" s="8">
        <f>C40*E40</f>
        <v/>
      </c>
      <c r="H40" s="4" t="inlineStr">
        <is>
          <t>observed price</t>
        </is>
      </c>
      <c r="I40" s="9" t="inlineStr">
        <is>
          <t>ProX T-LS31M 10 ft DJ lighting truss USD 169.95 (Walmart); ProX XT-BTD1210 10 ft I-beam box truss USD 309.40 (idjnow); Global Truss F34 9 ft USD 600 (B&amp;H). The span's own rating and the clamp to the stand tops decide the choice.</t>
        </is>
      </c>
    </row>
    <row r="41">
      <c r="A41" s="4" t="inlineStr">
        <is>
          <t>Support: truss goalpost (only if the owned rig does not fit)</t>
        </is>
      </c>
      <c r="B41" s="5" t="inlineStr">
        <is>
          <t>Two half-couplers, safety steel, sandbags for the stand bases</t>
        </is>
      </c>
      <c r="C41" s="6" t="n">
        <v>1</v>
      </c>
      <c r="D41" s="7" t="n">
        <v>40</v>
      </c>
      <c r="E41" s="7" t="n">
        <v>120</v>
      </c>
      <c r="F41" s="8">
        <f>C41*D41</f>
        <v/>
      </c>
      <c r="G41" s="8">
        <f>C41*E41</f>
        <v/>
      </c>
      <c r="H41" s="4" t="inlineStr">
        <is>
          <t>allowance</t>
        </is>
      </c>
      <c r="I41" s="9" t="inlineStr">
        <is>
          <t>Hardware allowance; the rigging kit's slings and swivel are reused.</t>
        </is>
      </c>
    </row>
    <row r="42">
      <c r="A42" s="4" t="inlineStr">
        <is>
          <t>Support: truss goalpost (only if the owned rig does not fit)</t>
        </is>
      </c>
      <c r="B42" s="10" t="inlineStr">
        <is>
          <t>Subtotal</t>
        </is>
      </c>
      <c r="C42" s="4" t="inlineStr"/>
      <c r="D42" s="8" t="inlineStr"/>
      <c r="E42" s="8" t="inlineStr"/>
      <c r="F42" s="8">
        <f>SUM(F39:F41)</f>
        <v/>
      </c>
      <c r="G42" s="8">
        <f>SUM(G39:G41)</f>
        <v/>
      </c>
      <c r="H42" s="4" t="inlineStr"/>
      <c r="I42" s="9" t="inlineStr"/>
    </row>
    <row r="43">
      <c r="A43" s="4" t="inlineStr">
        <is>
          <t>Support: truss goalpost (only if the owned rig does not fit)</t>
        </is>
      </c>
      <c r="B43" s="9" t="inlineStr">
        <is>
          <t>Contingency 20%</t>
        </is>
      </c>
      <c r="C43" s="4" t="inlineStr"/>
      <c r="D43" s="8" t="inlineStr"/>
      <c r="E43" s="8" t="inlineStr"/>
      <c r="F43" s="8">
        <f>F42*0.2</f>
        <v/>
      </c>
      <c r="G43" s="8">
        <f>G42*0.2</f>
        <v/>
      </c>
      <c r="H43" s="4" t="inlineStr"/>
      <c r="I43" s="9" t="inlineStr"/>
    </row>
    <row r="44">
      <c r="A44" s="4" t="inlineStr">
        <is>
          <t>Support: truss goalpost (only if the owned rig does not fit)</t>
        </is>
      </c>
      <c r="B44" s="10" t="inlineStr">
        <is>
          <t>Total with contingency</t>
        </is>
      </c>
      <c r="C44" s="4" t="inlineStr"/>
      <c r="D44" s="8" t="inlineStr"/>
      <c r="E44" s="8" t="inlineStr"/>
      <c r="F44" s="11">
        <f>F42+F43</f>
        <v/>
      </c>
      <c r="G44" s="11">
        <f>G42+G43</f>
        <v/>
      </c>
      <c r="H44" s="4" t="inlineStr"/>
      <c r="I44" s="9" t="inlineStr"/>
    </row>
    <row r="45">
      <c r="A45" s="4" t="n"/>
      <c r="B45" s="9" t="n"/>
      <c r="C45" s="4" t="n"/>
      <c r="D45" s="8" t="n"/>
      <c r="E45" s="8" t="n"/>
      <c r="F45" s="8" t="n"/>
      <c r="G45" s="8" t="n"/>
      <c r="H45" s="4" t="n"/>
      <c r="I45" s="9" t="n"/>
    </row>
    <row r="46">
      <c r="A46" s="4" t="inlineStr">
        <is>
          <t>Artist in-kind</t>
        </is>
      </c>
      <c r="B46" s="9" t="inlineStr">
        <is>
          <t>Artist-owned aerial rig (model and attachment height to confirm)</t>
        </is>
      </c>
      <c r="C46" s="4" t="inlineStr"/>
      <c r="D46" s="8" t="inlineStr"/>
      <c r="E46" s="8" t="inlineStr"/>
      <c r="F46" s="8" t="inlineStr"/>
      <c r="G46" s="8" t="inlineStr"/>
      <c r="H46" s="4" t="inlineStr">
        <is>
          <t>committed</t>
        </is>
      </c>
      <c r="I46" s="9" t="inlineStr">
        <is>
          <t>The hanger Andrew already owns. Its manual decides the permitted load and the sphere must fit between the legs; see the fit check in the schematics.</t>
        </is>
      </c>
    </row>
    <row r="47">
      <c r="A47" s="4" t="inlineStr">
        <is>
          <t>Artist in-kind</t>
        </is>
      </c>
      <c r="B47" s="9" t="inlineStr">
        <is>
          <t>Artist-owned hazer</t>
        </is>
      </c>
      <c r="C47" s="4" t="inlineStr"/>
      <c r="D47" s="8" t="inlineStr"/>
      <c r="E47" s="8" t="inlineStr"/>
      <c r="F47" s="8" t="inlineStr"/>
      <c r="G47" s="8" t="inlineStr"/>
      <c r="H47" s="4" t="inlineStr">
        <is>
          <t>committed</t>
        </is>
      </c>
      <c r="I47" s="9" t="inlineStr">
        <is>
          <t>Zero acquisition cost (P015). Fills the zorb with haze during inflation so the sphere glows as a volume and the cameras inside keep their view; fluid is a consumable.</t>
        </is>
      </c>
    </row>
    <row r="48">
      <c r="A48" s="4" t="inlineStr">
        <is>
          <t>Artist in-kind</t>
        </is>
      </c>
      <c r="B48" s="9" t="inlineStr">
        <is>
          <t>Artist-owned laptop as the real-time compositing host</t>
        </is>
      </c>
      <c r="C48" s="4" t="inlineStr"/>
      <c r="D48" s="8" t="inlineStr"/>
      <c r="E48" s="8" t="inlineStr"/>
      <c r="F48" s="8" t="inlineStr"/>
      <c r="G48" s="8" t="inlineStr"/>
      <c r="H48" s="4" t="inlineStr">
        <is>
          <t>committed</t>
        </is>
      </c>
      <c r="I48" s="9" t="inlineStr">
        <is>
          <t>Pre-owned (October 1, 2026). Composites the two phone feeds with the moon film and streams the finished picture to the output node, or drives the heads directly over HDMI.</t>
        </is>
      </c>
    </row>
    <row r="49">
      <c r="A49" s="4" t="inlineStr">
        <is>
          <t>Artist in-kind</t>
        </is>
      </c>
      <c r="B49" s="9" t="inlineStr">
        <is>
          <t>Artist-owned UniFi router for the private Wi-Fi</t>
        </is>
      </c>
      <c r="C49" s="4" t="inlineStr"/>
      <c r="D49" s="8" t="inlineStr"/>
      <c r="E49" s="8" t="inlineStr"/>
      <c r="F49" s="8" t="inlineStr"/>
      <c r="G49" s="8" t="inlineStr"/>
      <c r="H49" s="4" t="inlineStr">
        <is>
          <t>committed</t>
        </is>
      </c>
      <c r="I49" s="9" t="inlineStr">
        <is>
          <t>Owned (October 1, 2026). Carries phones, laptop and output node on one private network with no internet; nothing is stored.</t>
        </is>
      </c>
    </row>
    <row r="50">
      <c r="A50" s="4" t="inlineStr">
        <is>
          <t>Artist in-kind</t>
        </is>
      </c>
      <c r="B50" s="9" t="inlineStr">
        <is>
          <t>2021 Ram 2500 Mega Cab for transport</t>
        </is>
      </c>
      <c r="C50" s="4" t="inlineStr"/>
      <c r="D50" s="8" t="inlineStr"/>
      <c r="E50" s="8" t="inlineStr"/>
      <c r="F50" s="8" t="inlineStr"/>
      <c r="G50" s="8" t="inlineStr"/>
      <c r="H50" s="4" t="inlineStr">
        <is>
          <t>committed</t>
        </is>
      </c>
      <c r="I50" s="9" t="inlineStr">
        <is>
          <t>Transport only; it carries no load and is not part of the 2027 art. Parking it at the camp as scenery is a stretch goal for later (Andrew, October 1, 2026).</t>
        </is>
      </c>
    </row>
    <row r="51">
      <c r="A51" s="4" t="inlineStr">
        <is>
          <t>Artist in-kind</t>
        </is>
      </c>
      <c r="B51" s="9" t="inlineStr">
        <is>
          <t>Existing design work: v3 and v4 design packages, projection diagnostics, content studies</t>
        </is>
      </c>
      <c r="C51" s="4" t="inlineStr"/>
      <c r="D51" s="8" t="inlineStr"/>
      <c r="E51" s="8" t="inlineStr"/>
      <c r="F51" s="8" t="inlineStr"/>
      <c r="G51" s="8" t="inlineStr"/>
      <c r="H51" s="4" t="inlineStr">
        <is>
          <t>committed</t>
        </is>
      </c>
      <c r="I51" s="9" t="inlineStr">
        <is>
          <t>Already produced; see the project site.</t>
        </is>
      </c>
    </row>
    <row r="52">
      <c r="A52" s="4" t="inlineStr">
        <is>
          <t>Artist in-kind</t>
        </is>
      </c>
      <c r="B52" s="9" t="inlineStr">
        <is>
          <t>Artist labor: content authoring, bench tests, build, two-day install, nightly operation, strike</t>
        </is>
      </c>
      <c r="C52" s="4" t="inlineStr"/>
      <c r="D52" s="8" t="inlineStr"/>
      <c r="E52" s="8" t="inlineStr"/>
      <c r="F52" s="8" t="inlineStr"/>
      <c r="G52" s="8" t="inlineStr"/>
      <c r="H52" s="4" t="inlineStr">
        <is>
          <t>pending</t>
        </is>
      </c>
      <c r="I52" s="9" t="inlineStr">
        <is>
          <t>Crew names and hours to be entered by Andrew.</t>
        </is>
      </c>
    </row>
    <row r="53">
      <c r="A53" s="4" t="inlineStr">
        <is>
          <t>Artist in-kind</t>
        </is>
      </c>
      <c r="B53" s="9" t="inlineStr">
        <is>
          <t>Fuel, tolls and travel to Virginia Key and back</t>
        </is>
      </c>
      <c r="C53" s="4" t="inlineStr"/>
      <c r="D53" s="8" t="inlineStr"/>
      <c r="E53" s="8" t="inlineStr"/>
      <c r="F53" s="8" t="inlineStr"/>
      <c r="G53" s="8" t="inlineStr"/>
      <c r="H53" s="4" t="inlineStr">
        <is>
          <t>pending</t>
        </is>
      </c>
      <c r="I53" s="9" t="inlineStr">
        <is>
          <t>Artist-funded; amount depends on the route and is not estimated here.</t>
        </is>
      </c>
    </row>
    <row r="54">
      <c r="A54" s="4" t="n"/>
      <c r="B54" s="9" t="n"/>
      <c r="C54" s="4" t="n"/>
      <c r="D54" s="8" t="n"/>
      <c r="E54" s="8" t="n"/>
      <c r="F54" s="8" t="n"/>
      <c r="G54" s="8" t="n"/>
      <c r="H54" s="4" t="n"/>
      <c r="I54" s="9" t="n"/>
    </row>
    <row r="55">
      <c r="A55" s="4" t="inlineStr">
        <is>
          <t>Requested from Love Burn</t>
        </is>
      </c>
      <c r="B55" s="9" t="inlineStr">
        <is>
          <t>Cash grant toward the Tier 1 cash list</t>
        </is>
      </c>
      <c r="C55" s="4" t="inlineStr"/>
      <c r="D55" s="8" t="inlineStr"/>
      <c r="E55" s="8" t="inlineStr"/>
      <c r="F55" s="8" t="inlineStr"/>
      <c r="G55" s="8" t="inlineStr"/>
      <c r="H55" s="4" t="inlineStr">
        <is>
          <t>requested</t>
        </is>
      </c>
      <c r="I55" s="9" t="inlineStr">
        <is>
          <t>Target set in the ledger from Love Burn's published per-project averages.</t>
        </is>
      </c>
    </row>
    <row r="56">
      <c r="A56" s="4" t="inlineStr">
        <is>
          <t>Requested from Love Burn</t>
        </is>
      </c>
      <c r="B56" s="9" t="inlineStr">
        <is>
          <t>Artist tickets for the build and operating crew</t>
        </is>
      </c>
      <c r="C56" s="4" t="inlineStr"/>
      <c r="D56" s="8" t="inlineStr"/>
      <c r="E56" s="8" t="inlineStr"/>
      <c r="F56" s="8" t="inlineStr"/>
      <c r="G56" s="8" t="inlineStr"/>
      <c r="H56" s="4" t="inlineStr">
        <is>
          <t>requested</t>
        </is>
      </c>
      <c r="I56" s="9" t="inlineStr">
        <is>
          <t>Count to be entered by Andrew; tickets depend on an approved proposal.</t>
        </is>
      </c>
    </row>
    <row r="57">
      <c r="A57" s="4" t="inlineStr">
        <is>
          <t>Requested from Love Burn</t>
        </is>
      </c>
      <c r="B57" s="9" t="inlineStr">
        <is>
          <t>One 120 V 20 A outdoor circuit at the placement, dusk to midnight</t>
        </is>
      </c>
      <c r="C57" s="4" t="inlineStr"/>
      <c r="D57" s="8" t="inlineStr"/>
      <c r="E57" s="8" t="inlineStr"/>
      <c r="F57" s="8" t="inlineStr"/>
      <c r="G57" s="8" t="inlineStr"/>
      <c r="H57" s="4" t="inlineStr">
        <is>
          <t>requested</t>
        </is>
      </c>
      <c r="I57" s="9" t="inlineStr">
        <is>
          <t>Measured load schedule follows the bench test.</t>
        </is>
      </c>
    </row>
    <row r="58">
      <c r="A58" s="4" t="inlineStr">
        <is>
          <t>Requested from Love Burn</t>
        </is>
      </c>
      <c r="B58" s="9" t="inlineStr">
        <is>
          <t>Dry-land placement with a 10 x 10 m footprint, a clear overhead for the rig, and 1.5 m of clear ground around the legs</t>
        </is>
      </c>
      <c r="C58" s="4" t="inlineStr"/>
      <c r="D58" s="8" t="inlineStr"/>
      <c r="E58" s="8" t="inlineStr"/>
      <c r="F58" s="8" t="inlineStr"/>
      <c r="G58" s="8" t="inlineStr"/>
      <c r="H58" s="4" t="inlineStr">
        <is>
          <t>requested</t>
        </is>
      </c>
      <c r="I58" s="9" t="inlineStr">
        <is>
          <t>Shoreline or over-water placement is not requested for 2027.</t>
        </is>
      </c>
    </row>
    <row r="59">
      <c r="A59" s="4" t="inlineStr">
        <is>
          <t>Requested from Love Burn</t>
        </is>
      </c>
      <c r="B59" s="9" t="inlineStr">
        <is>
          <t>Cash grant requested (Seed Grant)</t>
        </is>
      </c>
      <c r="C59" s="4" t="inlineStr"/>
      <c r="D59" s="8" t="inlineStr"/>
      <c r="E59" s="8" t="inlineStr"/>
      <c r="F59" s="7" t="n">
        <v>3000</v>
      </c>
      <c r="G59" s="7" t="n">
        <v>3000</v>
      </c>
      <c r="H59" s="4" t="inlineStr">
        <is>
          <t>requested</t>
        </is>
      </c>
      <c r="I59" s="9" t="inlineStr">
        <is>
          <t>Covers the low build in full; the artist covers any remainder</t>
        </is>
      </c>
    </row>
    <row r="60">
      <c r="A60" s="4" t="inlineStr">
        <is>
          <t>Requested from Love Burn</t>
        </is>
      </c>
      <c r="B60" s="9" t="inlineStr">
        <is>
          <t>Crew tickets requested</t>
        </is>
      </c>
      <c r="C60" s="6" t="n">
        <v>3</v>
      </c>
      <c r="D60" s="8" t="inlineStr"/>
      <c r="E60" s="8" t="inlineStr"/>
      <c r="F60" s="8" t="inlineStr"/>
      <c r="G60" s="8" t="inlineStr"/>
      <c r="H60" s="4" t="inlineStr">
        <is>
          <t>requested</t>
        </is>
      </c>
      <c r="I60" s="9" t="inlineStr">
        <is>
          <t>The form values crew tickets at $500 each</t>
        </is>
      </c>
    </row>
    <row r="61">
      <c r="A61" s="4" t="n"/>
      <c r="B61" s="9" t="n"/>
      <c r="C61" s="4" t="n"/>
      <c r="D61" s="8" t="n"/>
      <c r="E61" s="8" t="n"/>
      <c r="F61" s="8" t="n"/>
      <c r="G61" s="8" t="n"/>
      <c r="H61" s="4" t="n"/>
      <c r="I61" s="9" t="n"/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2026-10-01T04:02:34Z</dcterms:created>
  <dcterms:modified xsi:type="dcterms:W3CDTF">2026-10-01T04:02:34Z</dcterms:modified>
</cp:coreProperties>
</file>